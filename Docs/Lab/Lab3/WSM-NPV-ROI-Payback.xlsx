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QTDACNTT-CTK44\Docs\Lab\Lab3\"/>
    </mc:Choice>
  </mc:AlternateContent>
  <xr:revisionPtr revIDLastSave="0" documentId="13_ncr:1_{C52E364B-2392-4789-BD79-F4B0668278F8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WSM_DuAn" sheetId="1" r:id="rId1"/>
    <sheet name="WSM_ChucNang" sheetId="2" r:id="rId2"/>
    <sheet name="NPV" sheetId="3" r:id="rId3"/>
    <sheet name="ROI" sheetId="5" r:id="rId4"/>
    <sheet name="Payback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6" l="1"/>
  <c r="E5" i="6" s="1"/>
  <c r="E3" i="6"/>
  <c r="D4" i="6"/>
  <c r="D5" i="6" s="1"/>
  <c r="D3" i="6"/>
  <c r="D10" i="5"/>
  <c r="E6" i="5"/>
  <c r="C9" i="5"/>
  <c r="C10" i="5" s="1"/>
  <c r="D9" i="5"/>
  <c r="E9" i="5"/>
  <c r="E10" i="5" s="1"/>
  <c r="E12" i="5" s="1"/>
  <c r="B9" i="5"/>
  <c r="B10" i="5" s="1"/>
  <c r="B5" i="5"/>
  <c r="B6" i="5" s="1"/>
  <c r="C5" i="5"/>
  <c r="C6" i="5" s="1"/>
  <c r="D5" i="5"/>
  <c r="D6" i="5" s="1"/>
  <c r="E5" i="5"/>
  <c r="B13" i="3"/>
  <c r="C12" i="3"/>
  <c r="D12" i="3"/>
  <c r="E12" i="3"/>
  <c r="F12" i="3"/>
  <c r="B12" i="3"/>
  <c r="B7" i="3"/>
  <c r="C6" i="3"/>
  <c r="D6" i="3"/>
  <c r="E6" i="3"/>
  <c r="F6" i="3"/>
  <c r="B6" i="3"/>
  <c r="D11" i="2"/>
  <c r="E11" i="2"/>
  <c r="F11" i="2"/>
  <c r="G11" i="2"/>
  <c r="H11" i="2"/>
  <c r="C11" i="2"/>
  <c r="C9" i="1"/>
  <c r="E9" i="1"/>
  <c r="D9" i="1"/>
  <c r="B11" i="2"/>
  <c r="F9" i="1"/>
  <c r="B9" i="1"/>
  <c r="B13" i="5" l="1"/>
  <c r="B12" i="5"/>
  <c r="D12" i="5"/>
  <c r="F10" i="5"/>
  <c r="C12" i="5"/>
  <c r="C13" i="5" s="1"/>
  <c r="D13" i="5" s="1"/>
  <c r="E13" i="5" s="1"/>
  <c r="F6" i="5"/>
  <c r="B15" i="5" l="1"/>
  <c r="F12" i="5"/>
</calcChain>
</file>

<file path=xl/sharedStrings.xml><?xml version="1.0" encoding="utf-8"?>
<sst xmlns="http://schemas.openxmlformats.org/spreadsheetml/2006/main" count="74" uniqueCount="57">
  <si>
    <t>Criteria</t>
  </si>
  <si>
    <t>Weight (%)</t>
  </si>
  <si>
    <t>Project 2</t>
  </si>
  <si>
    <t>Project 3</t>
  </si>
  <si>
    <t>Project 4</t>
  </si>
  <si>
    <t>Hỗ trợ mục tiêu kinh doanh</t>
  </si>
  <si>
    <t>Nhà tài trợ mạnh</t>
  </si>
  <si>
    <t>Hỗ trợ khách hàng tốt</t>
  </si>
  <si>
    <t>Công nghệ phù hợp</t>
  </si>
  <si>
    <t>Triển khai trong 1 năm</t>
  </si>
  <si>
    <t>NPV dương</t>
  </si>
  <si>
    <t>Rủi ro thấp</t>
  </si>
  <si>
    <t>UI: thân thiện, dễ dùng, dễ nhớ</t>
  </si>
  <si>
    <t>Tốc độ truy cập nhanh</t>
  </si>
  <si>
    <t>Hỗ trợ đa ngôn ngữ</t>
  </si>
  <si>
    <t>Nội dung hấp dẫn, đa dạng</t>
  </si>
  <si>
    <t>Chức năng đăng nhập</t>
  </si>
  <si>
    <t>Màu sắc, hình ảnh đa dạng</t>
  </si>
  <si>
    <t>Tính sáng tạo, linh hoạt</t>
  </si>
  <si>
    <t>YEAR 1</t>
  </si>
  <si>
    <t>YEAR 2</t>
  </si>
  <si>
    <t>YEAR 3</t>
  </si>
  <si>
    <t>YEAR 4</t>
  </si>
  <si>
    <t>YEAR 5</t>
  </si>
  <si>
    <t>Benefits</t>
  </si>
  <si>
    <t>Costs</t>
  </si>
  <si>
    <t>Cash Flow</t>
  </si>
  <si>
    <t>Year</t>
  </si>
  <si>
    <t>Cum Costs</t>
  </si>
  <si>
    <t>Cum Benefits</t>
  </si>
  <si>
    <t>PROJECT 1</t>
  </si>
  <si>
    <t>PROJECT 2</t>
  </si>
  <si>
    <t>Project 1</t>
  </si>
  <si>
    <t>Weighted Project Scores</t>
  </si>
  <si>
    <t>Func 1</t>
  </si>
  <si>
    <t>Func 2</t>
  </si>
  <si>
    <t>Func 3</t>
  </si>
  <si>
    <t>Func 4</t>
  </si>
  <si>
    <t>Func 5</t>
  </si>
  <si>
    <t>Func 6</t>
  </si>
  <si>
    <t>Weight</t>
  </si>
  <si>
    <t>Created by:</t>
  </si>
  <si>
    <t>Date:</t>
  </si>
  <si>
    <t>Weighted Decision Matrix for project Name</t>
  </si>
  <si>
    <t>Discount rate</t>
  </si>
  <si>
    <t>NPV</t>
  </si>
  <si>
    <t>Discount Rate</t>
  </si>
  <si>
    <t>Assume the project is completed in Year 0</t>
  </si>
  <si>
    <t>Total</t>
  </si>
  <si>
    <t>Discount factor</t>
  </si>
  <si>
    <t>Discounted costs</t>
  </si>
  <si>
    <t>Discounted benefits</t>
  </si>
  <si>
    <t>Discounted benefits - costs</t>
  </si>
  <si>
    <t>Cumulative benefits - costs</t>
  </si>
  <si>
    <t>ROI</t>
  </si>
  <si>
    <r>
      <rPr>
        <b/>
        <sz val="11"/>
        <color theme="1"/>
        <rFont val="Aptos Narrow"/>
        <family val="2"/>
      </rPr>
      <t xml:space="preserve">← </t>
    </r>
    <r>
      <rPr>
        <b/>
        <sz val="11"/>
        <color theme="1"/>
        <rFont val="Calibri"/>
        <family val="2"/>
      </rPr>
      <t>NPV</t>
    </r>
  </si>
  <si>
    <t>Payback In Year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</si>
</sst>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[$$-409]* #,##0_);_([$$-409]* \(#,##0\);_([$$-409]* &quot;-&quot;??_);_(@_)"/>
    <numFmt numFmtId="166" formatCode="&quot;$&quot;#,##0;\-&quot;$&quot;#,##0;&quot;$&quot;0"/>
    <numFmt numFmtId="171" formatCode="#,##0;\(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9" fontId="0" fillId="0" borderId="1" xfId="1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9" fontId="1" fillId="0" borderId="1" xfId="0" applyNumberFormat="1" applyFont="1" applyBorder="1"/>
    <xf numFmtId="0" fontId="1" fillId="0" borderId="1" xfId="0" applyFont="1" applyBorder="1"/>
    <xf numFmtId="9" fontId="1" fillId="0" borderId="0" xfId="1" applyFont="1"/>
    <xf numFmtId="166" fontId="1" fillId="0" borderId="1" xfId="0" applyNumberFormat="1" applyFont="1" applyBorder="1" applyAlignment="1">
      <alignment horizontal="center" vertical="center"/>
    </xf>
    <xf numFmtId="164" fontId="1" fillId="0" borderId="1" xfId="2" applyNumberFormat="1" applyFont="1" applyBorder="1" applyAlignment="1">
      <alignment horizontal="center" vertical="center"/>
    </xf>
    <xf numFmtId="166" fontId="1" fillId="0" borderId="1" xfId="2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6" fontId="1" fillId="0" borderId="0" xfId="0" applyNumberFormat="1" applyFont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0" fillId="0" borderId="0" xfId="0" applyFont="1"/>
    <xf numFmtId="0" fontId="1" fillId="0" borderId="0" xfId="1" applyNumberFormat="1" applyFont="1"/>
    <xf numFmtId="0" fontId="0" fillId="0" borderId="0" xfId="0" applyFont="1" applyAlignment="1">
      <alignment horizontal="center"/>
    </xf>
    <xf numFmtId="0" fontId="2" fillId="0" borderId="0" xfId="1" applyNumberFormat="1" applyFont="1"/>
    <xf numFmtId="2" fontId="2" fillId="0" borderId="0" xfId="1" applyNumberFormat="1" applyFont="1"/>
    <xf numFmtId="0" fontId="1" fillId="0" borderId="0" xfId="0" applyFont="1" applyBorder="1" applyAlignment="1">
      <alignment horizontal="center" vertical="top"/>
    </xf>
    <xf numFmtId="0" fontId="5" fillId="0" borderId="0" xfId="0" applyFont="1"/>
    <xf numFmtId="171" fontId="2" fillId="0" borderId="0" xfId="1" applyNumberFormat="1" applyFont="1"/>
    <xf numFmtId="171" fontId="1" fillId="0" borderId="0" xfId="0" applyNumberFormat="1" applyFont="1"/>
    <xf numFmtId="171" fontId="1" fillId="0" borderId="0" xfId="1" applyNumberFormat="1" applyFont="1"/>
    <xf numFmtId="171" fontId="0" fillId="0" borderId="1" xfId="0" applyNumberFormat="1" applyBorder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Weighted Score by Project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WSM_DuAn!$C$1:$F$1</c:f>
              <c:strCache>
                <c:ptCount val="4"/>
                <c:pt idx="0">
                  <c:v>Project 1</c:v>
                </c:pt>
                <c:pt idx="1">
                  <c:v>Project 2</c:v>
                </c:pt>
                <c:pt idx="2">
                  <c:v>Project 3</c:v>
                </c:pt>
                <c:pt idx="3">
                  <c:v>Project 4</c:v>
                </c:pt>
              </c:strCache>
            </c:strRef>
          </c:cat>
          <c:val>
            <c:numRef>
              <c:f>WSM_DuAn!$C$9:$F$9</c:f>
              <c:numCache>
                <c:formatCode>General</c:formatCode>
                <c:ptCount val="4"/>
                <c:pt idx="0">
                  <c:v>75.5</c:v>
                </c:pt>
                <c:pt idx="1">
                  <c:v>58.5</c:v>
                </c:pt>
                <c:pt idx="2">
                  <c:v>60.5</c:v>
                </c:pt>
                <c:pt idx="3">
                  <c:v>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4-449E-82C0-EF735A3DE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4237776"/>
        <c:axId val="684221456"/>
      </c:barChart>
      <c:catAx>
        <c:axId val="684237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21456"/>
        <c:crosses val="autoZero"/>
        <c:auto val="1"/>
        <c:lblAlgn val="ctr"/>
        <c:lblOffset val="100"/>
        <c:noMultiLvlLbl val="0"/>
      </c:catAx>
      <c:valAx>
        <c:axId val="68422145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3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alpha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Weighted Score by Project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WSM_ChucNang!$C$3:$H$3</c:f>
              <c:strCache>
                <c:ptCount val="6"/>
                <c:pt idx="0">
                  <c:v>Func 1</c:v>
                </c:pt>
                <c:pt idx="1">
                  <c:v>Func 2</c:v>
                </c:pt>
                <c:pt idx="2">
                  <c:v>Func 3</c:v>
                </c:pt>
                <c:pt idx="3">
                  <c:v>Func 4</c:v>
                </c:pt>
                <c:pt idx="4">
                  <c:v>Func 5</c:v>
                </c:pt>
                <c:pt idx="5">
                  <c:v>Func 6</c:v>
                </c:pt>
              </c:strCache>
            </c:strRef>
          </c:cat>
          <c:val>
            <c:numRef>
              <c:f>WSM_ChucNang!$C$11:$H$11</c:f>
              <c:numCache>
                <c:formatCode>General</c:formatCode>
                <c:ptCount val="6"/>
                <c:pt idx="0">
                  <c:v>75.5</c:v>
                </c:pt>
                <c:pt idx="1">
                  <c:v>68.5</c:v>
                </c:pt>
                <c:pt idx="2">
                  <c:v>74.75</c:v>
                </c:pt>
                <c:pt idx="3">
                  <c:v>70</c:v>
                </c:pt>
                <c:pt idx="4">
                  <c:v>63.5</c:v>
                </c:pt>
                <c:pt idx="5">
                  <c:v>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6-4436-9A31-E5FE38124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9792928"/>
        <c:axId val="859803488"/>
      </c:barChart>
      <c:catAx>
        <c:axId val="8597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803488"/>
        <c:crosses val="autoZero"/>
        <c:auto val="1"/>
        <c:lblAlgn val="ctr"/>
        <c:lblOffset val="100"/>
        <c:noMultiLvlLbl val="0"/>
      </c:catAx>
      <c:valAx>
        <c:axId val="85980348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7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Payback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Payback!$D$1</c:f>
              <c:strCache>
                <c:ptCount val="1"/>
                <c:pt idx="0">
                  <c:v>Cum 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Payback!$D$2:$D$5</c:f>
              <c:numCache>
                <c:formatCode>#,##0;\(#,##0\)</c:formatCode>
                <c:ptCount val="4"/>
                <c:pt idx="0">
                  <c:v>140000</c:v>
                </c:pt>
                <c:pt idx="1">
                  <c:v>177000</c:v>
                </c:pt>
                <c:pt idx="2">
                  <c:v>211000</c:v>
                </c:pt>
                <c:pt idx="3">
                  <c:v>243000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61-44F9-B734-EDACB0FF2CCB}"/>
            </c:ext>
          </c:extLst>
        </c:ser>
        <c:ser>
          <c:idx val="2"/>
          <c:order val="1"/>
          <c:tx>
            <c:strRef>
              <c:f>Payback!$E$1</c:f>
              <c:strCache>
                <c:ptCount val="1"/>
                <c:pt idx="0">
                  <c:v>Cum Benefits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Payback!$E$2:$E$5</c:f>
              <c:numCache>
                <c:formatCode>#,##0;\(#,##0\)</c:formatCode>
                <c:ptCount val="4"/>
                <c:pt idx="0">
                  <c:v>0</c:v>
                </c:pt>
                <c:pt idx="1">
                  <c:v>185000</c:v>
                </c:pt>
                <c:pt idx="2">
                  <c:v>356000</c:v>
                </c:pt>
                <c:pt idx="3">
                  <c:v>515000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61-44F9-B734-EDACB0FF2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1094304"/>
        <c:axId val="1441083744"/>
      </c:lineChart>
      <c:catAx>
        <c:axId val="144109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83744"/>
        <c:crosses val="autoZero"/>
        <c:auto val="1"/>
        <c:lblAlgn val="ctr"/>
        <c:lblOffset val="100"/>
        <c:noMultiLvlLbl val="0"/>
      </c:catAx>
      <c:valAx>
        <c:axId val="144108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9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10</xdr:row>
      <xdr:rowOff>14287</xdr:rowOff>
    </xdr:from>
    <xdr:to>
      <xdr:col>5</xdr:col>
      <xdr:colOff>523875</xdr:colOff>
      <xdr:row>24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6D5C60-0D65-2279-33B0-DC328B775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12</xdr:row>
      <xdr:rowOff>4762</xdr:rowOff>
    </xdr:from>
    <xdr:to>
      <xdr:col>7</xdr:col>
      <xdr:colOff>228600</xdr:colOff>
      <xdr:row>26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8FDEC-A40F-A30D-1ECB-B0CAC7138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14</xdr:row>
      <xdr:rowOff>104775</xdr:rowOff>
    </xdr:from>
    <xdr:to>
      <xdr:col>1</xdr:col>
      <xdr:colOff>133350</xdr:colOff>
      <xdr:row>14</xdr:row>
      <xdr:rowOff>104775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DE6A456-3FE3-2B4A-155E-F3F2C4A9B5B3}"/>
            </a:ext>
          </a:extLst>
        </xdr:cNvPr>
        <xdr:cNvCxnSpPr/>
      </xdr:nvCxnSpPr>
      <xdr:spPr>
        <a:xfrm>
          <a:off x="314325" y="2771775"/>
          <a:ext cx="15240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266700</xdr:colOff>
      <xdr:row>13</xdr:row>
      <xdr:rowOff>47625</xdr:rowOff>
    </xdr:from>
    <xdr:to>
      <xdr:col>2</xdr:col>
      <xdr:colOff>266700</xdr:colOff>
      <xdr:row>14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57DF5F6-95D8-2FF2-0878-53F61903B0B5}"/>
            </a:ext>
          </a:extLst>
        </xdr:cNvPr>
        <xdr:cNvCxnSpPr/>
      </xdr:nvCxnSpPr>
      <xdr:spPr>
        <a:xfrm flipV="1">
          <a:off x="2486025" y="2524125"/>
          <a:ext cx="0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6</xdr:row>
      <xdr:rowOff>33337</xdr:rowOff>
    </xdr:from>
    <xdr:to>
      <xdr:col>7</xdr:col>
      <xdr:colOff>504825</xdr:colOff>
      <xdr:row>20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D952C6-5B7B-D2B5-9D8D-B7933DE76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400050</xdr:colOff>
      <xdr:row>12</xdr:row>
      <xdr:rowOff>57150</xdr:rowOff>
    </xdr:from>
    <xdr:to>
      <xdr:col>3</xdr:col>
      <xdr:colOff>647700</xdr:colOff>
      <xdr:row>14</xdr:row>
      <xdr:rowOff>133350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F60679B-34A3-E6EB-C8EC-AEEE75B52C29}"/>
            </a:ext>
          </a:extLst>
        </xdr:cNvPr>
        <xdr:cNvCxnSpPr/>
      </xdr:nvCxnSpPr>
      <xdr:spPr>
        <a:xfrm>
          <a:off x="1809750" y="2343150"/>
          <a:ext cx="247650" cy="4572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0</xdr:rowOff>
    </xdr:from>
    <xdr:to>
      <xdr:col>4</xdr:col>
      <xdr:colOff>104775</xdr:colOff>
      <xdr:row>12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F262A0-2219-7151-96D2-1D0DEDAA02CE}"/>
            </a:ext>
          </a:extLst>
        </xdr:cNvPr>
        <xdr:cNvSpPr txBox="1"/>
      </xdr:nvSpPr>
      <xdr:spPr>
        <a:xfrm>
          <a:off x="1409700" y="2095500"/>
          <a:ext cx="79057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PAYBACK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opLeftCell="A4" workbookViewId="0">
      <selection activeCell="P22" sqref="P22"/>
    </sheetView>
  </sheetViews>
  <sheetFormatPr defaultRowHeight="15" x14ac:dyDescent="0.25"/>
  <cols>
    <col min="1" max="1" width="25.5703125" bestFit="1" customWidth="1"/>
    <col min="2" max="2" width="11" bestFit="1" customWidth="1"/>
    <col min="3" max="6" width="8.7109375" bestFit="1" customWidth="1"/>
  </cols>
  <sheetData>
    <row r="1" spans="1:6" x14ac:dyDescent="0.25">
      <c r="A1" s="3" t="s">
        <v>0</v>
      </c>
      <c r="B1" s="1" t="s">
        <v>1</v>
      </c>
      <c r="C1" s="1" t="s">
        <v>32</v>
      </c>
      <c r="D1" s="1" t="s">
        <v>2</v>
      </c>
      <c r="E1" s="1" t="s">
        <v>3</v>
      </c>
      <c r="F1" s="1" t="s">
        <v>4</v>
      </c>
    </row>
    <row r="2" spans="1:6" x14ac:dyDescent="0.25">
      <c r="A2" s="4" t="s">
        <v>5</v>
      </c>
      <c r="B2" s="5">
        <v>0.25</v>
      </c>
      <c r="C2" s="6">
        <v>90</v>
      </c>
      <c r="D2" s="6">
        <v>50</v>
      </c>
      <c r="E2" s="6">
        <v>60</v>
      </c>
      <c r="F2" s="6">
        <v>70</v>
      </c>
    </row>
    <row r="3" spans="1:6" x14ac:dyDescent="0.25">
      <c r="A3" s="4" t="s">
        <v>6</v>
      </c>
      <c r="B3" s="5">
        <v>0.15</v>
      </c>
      <c r="C3" s="6">
        <v>70</v>
      </c>
      <c r="D3" s="6">
        <v>90</v>
      </c>
      <c r="E3" s="6">
        <v>50</v>
      </c>
      <c r="F3" s="6">
        <v>20</v>
      </c>
    </row>
    <row r="4" spans="1:6" x14ac:dyDescent="0.25">
      <c r="A4" s="4" t="s">
        <v>7</v>
      </c>
      <c r="B4" s="5">
        <v>0.15</v>
      </c>
      <c r="C4" s="6">
        <v>90</v>
      </c>
      <c r="D4" s="6">
        <v>50</v>
      </c>
      <c r="E4" s="6">
        <v>70</v>
      </c>
      <c r="F4" s="6">
        <v>70</v>
      </c>
    </row>
    <row r="5" spans="1:6" x14ac:dyDescent="0.25">
      <c r="A5" s="4" t="s">
        <v>8</v>
      </c>
      <c r="B5" s="5">
        <v>0.1</v>
      </c>
      <c r="C5" s="6">
        <v>80</v>
      </c>
      <c r="D5" s="6">
        <v>90</v>
      </c>
      <c r="E5" s="6">
        <v>60</v>
      </c>
      <c r="F5" s="6">
        <v>70</v>
      </c>
    </row>
    <row r="6" spans="1:6" x14ac:dyDescent="0.25">
      <c r="A6" s="4" t="s">
        <v>9</v>
      </c>
      <c r="B6" s="5">
        <v>0.05</v>
      </c>
      <c r="C6" s="6">
        <v>20</v>
      </c>
      <c r="D6" s="6">
        <v>20</v>
      </c>
      <c r="E6" s="6">
        <v>50</v>
      </c>
      <c r="F6" s="6">
        <v>90</v>
      </c>
    </row>
    <row r="7" spans="1:6" x14ac:dyDescent="0.25">
      <c r="A7" s="4" t="s">
        <v>10</v>
      </c>
      <c r="B7" s="5">
        <v>0.2</v>
      </c>
      <c r="C7" s="6">
        <v>70</v>
      </c>
      <c r="D7" s="6">
        <v>50</v>
      </c>
      <c r="E7" s="6">
        <v>70</v>
      </c>
      <c r="F7" s="6">
        <v>90</v>
      </c>
    </row>
    <row r="8" spans="1:6" x14ac:dyDescent="0.25">
      <c r="A8" s="4" t="s">
        <v>11</v>
      </c>
      <c r="B8" s="5">
        <v>0.1</v>
      </c>
      <c r="C8" s="6">
        <v>60</v>
      </c>
      <c r="D8" s="6">
        <v>50</v>
      </c>
      <c r="E8" s="6">
        <v>50</v>
      </c>
      <c r="F8" s="6">
        <v>90</v>
      </c>
    </row>
    <row r="9" spans="1:6" x14ac:dyDescent="0.25">
      <c r="A9" s="7" t="s">
        <v>33</v>
      </c>
      <c r="B9" s="8">
        <f>SUM(B2:B8)</f>
        <v>1.0000000000000002</v>
      </c>
      <c r="C9" s="9">
        <f>SUM(($B$2*C2),($B$3*C3),($B$4*C4),($B$5*C5),($B$6*C6),($B$7*C7),($B$8*C8))</f>
        <v>75.5</v>
      </c>
      <c r="D9" s="9">
        <f>SUM(($B$2*D2),($B$3*D3),($B$4*D4),($B$5*D5),($B$6*D6),($B$7*D7),($B$8*D8))</f>
        <v>58.5</v>
      </c>
      <c r="E9" s="9">
        <f t="shared" ref="E9:F9" si="0">SUM(($B$2*E2),($B$3*E3),($B$4*E4),($B$5*E5),($B$6*E6),($B$7*E7),($B$8*E8))</f>
        <v>60.5</v>
      </c>
      <c r="F9" s="9">
        <f t="shared" si="0"/>
        <v>69.5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opLeftCell="A4" workbookViewId="0">
      <selection activeCell="M23" sqref="M23"/>
    </sheetView>
  </sheetViews>
  <sheetFormatPr defaultRowHeight="15" x14ac:dyDescent="0.25"/>
  <cols>
    <col min="1" max="1" width="29" bestFit="1" customWidth="1"/>
    <col min="2" max="2" width="7.5703125" bestFit="1" customWidth="1"/>
    <col min="3" max="8" width="6.5703125" bestFit="1" customWidth="1"/>
  </cols>
  <sheetData>
    <row r="1" spans="1:8" x14ac:dyDescent="0.25">
      <c r="A1" s="17" t="s">
        <v>43</v>
      </c>
      <c r="B1" s="17"/>
      <c r="C1" s="17"/>
      <c r="D1" s="17"/>
      <c r="E1" s="17"/>
      <c r="F1" s="17"/>
      <c r="G1" s="17"/>
      <c r="H1" s="17"/>
    </row>
    <row r="2" spans="1:8" x14ac:dyDescent="0.25">
      <c r="A2" s="2" t="s">
        <v>41</v>
      </c>
      <c r="B2" s="2" t="s">
        <v>42</v>
      </c>
      <c r="C2" s="2"/>
      <c r="D2" s="2"/>
      <c r="E2" s="2"/>
      <c r="F2" s="2"/>
      <c r="G2" s="2"/>
      <c r="H2" s="2"/>
    </row>
    <row r="3" spans="1:8" s="2" customFormat="1" x14ac:dyDescent="0.25">
      <c r="A3" s="3" t="s">
        <v>0</v>
      </c>
      <c r="B3" s="1" t="s">
        <v>40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</row>
    <row r="4" spans="1:8" x14ac:dyDescent="0.25">
      <c r="A4" s="4" t="s">
        <v>12</v>
      </c>
      <c r="B4" s="5">
        <v>0.25</v>
      </c>
      <c r="C4" s="6">
        <v>90</v>
      </c>
      <c r="D4" s="6">
        <v>85</v>
      </c>
      <c r="E4" s="6">
        <v>80</v>
      </c>
      <c r="F4" s="6">
        <v>70</v>
      </c>
      <c r="G4" s="6">
        <v>60</v>
      </c>
      <c r="H4" s="6">
        <v>75</v>
      </c>
    </row>
    <row r="5" spans="1:8" x14ac:dyDescent="0.25">
      <c r="A5" s="4" t="s">
        <v>13</v>
      </c>
      <c r="B5" s="5">
        <v>0.15</v>
      </c>
      <c r="C5" s="6">
        <v>80</v>
      </c>
      <c r="D5" s="6">
        <v>75</v>
      </c>
      <c r="E5" s="6">
        <v>85</v>
      </c>
      <c r="F5" s="6">
        <v>90</v>
      </c>
      <c r="G5" s="6">
        <v>70</v>
      </c>
      <c r="H5" s="6">
        <v>65</v>
      </c>
    </row>
    <row r="6" spans="1:8" x14ac:dyDescent="0.25">
      <c r="A6" s="4" t="s">
        <v>14</v>
      </c>
      <c r="B6" s="5">
        <v>0.1</v>
      </c>
      <c r="C6" s="6">
        <v>70</v>
      </c>
      <c r="D6" s="6">
        <v>60</v>
      </c>
      <c r="E6" s="6">
        <v>60</v>
      </c>
      <c r="F6" s="6">
        <v>50</v>
      </c>
      <c r="G6" s="6">
        <v>80</v>
      </c>
      <c r="H6" s="6">
        <v>70</v>
      </c>
    </row>
    <row r="7" spans="1:8" x14ac:dyDescent="0.25">
      <c r="A7" s="4" t="s">
        <v>15</v>
      </c>
      <c r="B7" s="5">
        <v>0.15</v>
      </c>
      <c r="C7" s="6">
        <v>80</v>
      </c>
      <c r="D7" s="6">
        <v>70</v>
      </c>
      <c r="E7" s="6">
        <v>90</v>
      </c>
      <c r="F7" s="6">
        <v>60</v>
      </c>
      <c r="G7" s="6">
        <v>50</v>
      </c>
      <c r="H7" s="6">
        <v>80</v>
      </c>
    </row>
    <row r="8" spans="1:8" x14ac:dyDescent="0.25">
      <c r="A8" s="4" t="s">
        <v>16</v>
      </c>
      <c r="B8" s="5">
        <v>0.05</v>
      </c>
      <c r="C8" s="6">
        <v>60</v>
      </c>
      <c r="D8" s="6">
        <v>50</v>
      </c>
      <c r="E8" s="6">
        <v>70</v>
      </c>
      <c r="F8" s="6">
        <v>80</v>
      </c>
      <c r="G8" s="6">
        <v>90</v>
      </c>
      <c r="H8" s="6">
        <v>50</v>
      </c>
    </row>
    <row r="9" spans="1:8" x14ac:dyDescent="0.25">
      <c r="A9" s="4" t="s">
        <v>17</v>
      </c>
      <c r="B9" s="5">
        <v>0.2</v>
      </c>
      <c r="C9" s="6">
        <v>70</v>
      </c>
      <c r="D9" s="6">
        <v>65</v>
      </c>
      <c r="E9" s="6">
        <v>60</v>
      </c>
      <c r="F9" s="6">
        <v>75</v>
      </c>
      <c r="G9" s="6">
        <v>65</v>
      </c>
      <c r="H9" s="6">
        <v>70</v>
      </c>
    </row>
    <row r="10" spans="1:8" x14ac:dyDescent="0.25">
      <c r="A10" s="4" t="s">
        <v>18</v>
      </c>
      <c r="B10" s="5">
        <v>0.1</v>
      </c>
      <c r="C10" s="6">
        <v>50</v>
      </c>
      <c r="D10" s="6">
        <v>40</v>
      </c>
      <c r="E10" s="6">
        <v>70</v>
      </c>
      <c r="F10" s="6">
        <v>60</v>
      </c>
      <c r="G10" s="6">
        <v>50</v>
      </c>
      <c r="H10" s="6">
        <v>55</v>
      </c>
    </row>
    <row r="11" spans="1:8" x14ac:dyDescent="0.25">
      <c r="A11" s="7" t="s">
        <v>33</v>
      </c>
      <c r="B11" s="8">
        <f>SUM(B4:B10)</f>
        <v>1.0000000000000002</v>
      </c>
      <c r="C11" s="9">
        <f>SUM(($B$4*C4),($B$5*C5),($B$6*C6),($B$7*C7),($B$8*C8),($B$9*C9),($B$10*C10))</f>
        <v>75.5</v>
      </c>
      <c r="D11" s="9">
        <f t="shared" ref="D11:H11" si="0">SUM(($B$4*D4),($B$5*D5),($B$6*D6),($B$7*D7),($B$8*D8),($B$9*D9),($B$10*D10))</f>
        <v>68.5</v>
      </c>
      <c r="E11" s="9">
        <f t="shared" si="0"/>
        <v>74.75</v>
      </c>
      <c r="F11" s="9">
        <f t="shared" si="0"/>
        <v>70</v>
      </c>
      <c r="G11" s="9">
        <f t="shared" si="0"/>
        <v>63.5</v>
      </c>
      <c r="H11" s="9">
        <f t="shared" si="0"/>
        <v>69.5</v>
      </c>
    </row>
  </sheetData>
  <mergeCells count="1">
    <mergeCell ref="A1:H1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B13" sqref="B13"/>
    </sheetView>
  </sheetViews>
  <sheetFormatPr defaultRowHeight="15" x14ac:dyDescent="0.25"/>
  <cols>
    <col min="1" max="1" width="12.7109375" bestFit="1" customWidth="1"/>
    <col min="2" max="2" width="9.85546875" bestFit="1" customWidth="1"/>
    <col min="3" max="6" width="8" bestFit="1" customWidth="1"/>
  </cols>
  <sheetData>
    <row r="1" spans="1:6" x14ac:dyDescent="0.25">
      <c r="A1" s="2" t="s">
        <v>44</v>
      </c>
      <c r="B1" s="10">
        <v>0.1</v>
      </c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1" t="s">
        <v>30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</row>
    <row r="4" spans="1:6" x14ac:dyDescent="0.25">
      <c r="A4" s="9" t="s">
        <v>24</v>
      </c>
      <c r="B4" s="11">
        <v>0</v>
      </c>
      <c r="C4" s="12">
        <v>2000</v>
      </c>
      <c r="D4" s="12">
        <v>3000</v>
      </c>
      <c r="E4" s="12">
        <v>4000</v>
      </c>
      <c r="F4" s="12">
        <v>5000</v>
      </c>
    </row>
    <row r="5" spans="1:6" x14ac:dyDescent="0.25">
      <c r="A5" s="9" t="s">
        <v>25</v>
      </c>
      <c r="B5" s="12">
        <v>5000</v>
      </c>
      <c r="C5" s="12">
        <v>1000</v>
      </c>
      <c r="D5" s="12">
        <v>1000</v>
      </c>
      <c r="E5" s="13">
        <v>0</v>
      </c>
      <c r="F5" s="13">
        <v>0</v>
      </c>
    </row>
    <row r="6" spans="1:6" x14ac:dyDescent="0.25">
      <c r="A6" s="9" t="s">
        <v>26</v>
      </c>
      <c r="B6" s="14">
        <f>B4-B5</f>
        <v>-5000</v>
      </c>
      <c r="C6" s="14">
        <f t="shared" ref="C6:F6" si="0">C4-C5</f>
        <v>1000</v>
      </c>
      <c r="D6" s="14">
        <f t="shared" si="0"/>
        <v>2000</v>
      </c>
      <c r="E6" s="14">
        <f t="shared" si="0"/>
        <v>4000</v>
      </c>
      <c r="F6" s="14">
        <f t="shared" si="0"/>
        <v>5000</v>
      </c>
    </row>
    <row r="7" spans="1:6" x14ac:dyDescent="0.25">
      <c r="A7" s="2" t="s">
        <v>45</v>
      </c>
      <c r="B7" s="16">
        <f>NPV(B1,B6:F6)</f>
        <v>3620.2817740964015</v>
      </c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1" t="s">
        <v>31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</row>
    <row r="10" spans="1:6" x14ac:dyDescent="0.25">
      <c r="A10" s="9" t="s">
        <v>24</v>
      </c>
      <c r="B10" s="12">
        <v>1000</v>
      </c>
      <c r="C10" s="12">
        <v>2000</v>
      </c>
      <c r="D10" s="12">
        <v>3000</v>
      </c>
      <c r="E10" s="12">
        <v>4000</v>
      </c>
      <c r="F10" s="12">
        <v>5000</v>
      </c>
    </row>
    <row r="11" spans="1:6" x14ac:dyDescent="0.25">
      <c r="A11" s="9" t="s">
        <v>25</v>
      </c>
      <c r="B11" s="12">
        <v>2000</v>
      </c>
      <c r="C11" s="12">
        <v>2000</v>
      </c>
      <c r="D11" s="12">
        <v>2000</v>
      </c>
      <c r="E11" s="12">
        <v>2000</v>
      </c>
      <c r="F11" s="12">
        <v>2000</v>
      </c>
    </row>
    <row r="12" spans="1:6" x14ac:dyDescent="0.25">
      <c r="A12" s="9" t="s">
        <v>26</v>
      </c>
      <c r="B12" s="15">
        <f>B10-B11</f>
        <v>-1000</v>
      </c>
      <c r="C12" s="11">
        <f t="shared" ref="C12:F12" si="1">C10-C11</f>
        <v>0</v>
      </c>
      <c r="D12" s="15">
        <f t="shared" si="1"/>
        <v>1000</v>
      </c>
      <c r="E12" s="15">
        <f t="shared" si="1"/>
        <v>2000</v>
      </c>
      <c r="F12" s="15">
        <f t="shared" si="1"/>
        <v>3000</v>
      </c>
    </row>
    <row r="13" spans="1:6" x14ac:dyDescent="0.25">
      <c r="A13" s="2" t="s">
        <v>45</v>
      </c>
      <c r="B13" s="16">
        <f>NPV(B1,B12:F12)</f>
        <v>3071.014771718274</v>
      </c>
      <c r="C13" s="2"/>
      <c r="D13" s="2"/>
      <c r="E13" s="2"/>
      <c r="F1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activeCell="G17" sqref="G17"/>
    </sheetView>
  </sheetViews>
  <sheetFormatPr defaultRowHeight="15" x14ac:dyDescent="0.25"/>
  <cols>
    <col min="1" max="1" width="25.5703125" bestFit="1" customWidth="1"/>
    <col min="2" max="2" width="9" bestFit="1" customWidth="1"/>
    <col min="3" max="6" width="7.5703125" bestFit="1" customWidth="1"/>
  </cols>
  <sheetData>
    <row r="1" spans="1:7" x14ac:dyDescent="0.25">
      <c r="A1" s="2" t="s">
        <v>46</v>
      </c>
      <c r="B1" s="18">
        <v>0.08</v>
      </c>
    </row>
    <row r="2" spans="1:7" x14ac:dyDescent="0.25">
      <c r="A2" s="21" t="s">
        <v>47</v>
      </c>
      <c r="B2" s="21"/>
      <c r="C2" s="21"/>
      <c r="D2" s="21"/>
      <c r="E2" s="2" t="s">
        <v>27</v>
      </c>
    </row>
    <row r="3" spans="1:7" x14ac:dyDescent="0.25">
      <c r="A3" s="19"/>
      <c r="B3" s="20">
        <v>0</v>
      </c>
      <c r="C3" s="20">
        <v>1</v>
      </c>
      <c r="D3" s="20">
        <v>2</v>
      </c>
      <c r="E3" s="20">
        <v>3</v>
      </c>
      <c r="F3" s="2" t="s">
        <v>48</v>
      </c>
    </row>
    <row r="4" spans="1:7" x14ac:dyDescent="0.25">
      <c r="A4" s="19" t="s">
        <v>25</v>
      </c>
      <c r="B4" s="26">
        <v>140000</v>
      </c>
      <c r="C4" s="26">
        <v>40000</v>
      </c>
      <c r="D4" s="26">
        <v>40000</v>
      </c>
      <c r="E4" s="26">
        <v>40000</v>
      </c>
      <c r="F4" s="19"/>
    </row>
    <row r="5" spans="1:7" x14ac:dyDescent="0.25">
      <c r="A5" s="19" t="s">
        <v>49</v>
      </c>
      <c r="B5" s="22">
        <f>1/((1+$B$1)^B3)</f>
        <v>1</v>
      </c>
      <c r="C5" s="23">
        <f t="shared" ref="C5:E5" si="0">1/((1+$B$1)^C3)</f>
        <v>0.92592592592592582</v>
      </c>
      <c r="D5" s="23">
        <f t="shared" si="0"/>
        <v>0.85733882030178321</v>
      </c>
      <c r="E5" s="23">
        <f t="shared" si="0"/>
        <v>0.79383224102016958</v>
      </c>
      <c r="F5" s="19"/>
    </row>
    <row r="6" spans="1:7" x14ac:dyDescent="0.25">
      <c r="A6" s="2" t="s">
        <v>50</v>
      </c>
      <c r="B6" s="28">
        <f>B4*B5</f>
        <v>140000</v>
      </c>
      <c r="C6" s="28">
        <f>ROUND(C4*C5,-3)</f>
        <v>37000</v>
      </c>
      <c r="D6" s="28">
        <f t="shared" ref="D6:E6" si="1">ROUND(D4*D5,-3)</f>
        <v>34000</v>
      </c>
      <c r="E6" s="28">
        <f t="shared" si="1"/>
        <v>32000</v>
      </c>
      <c r="F6" s="27">
        <f>SUM(B6:E6)</f>
        <v>243000</v>
      </c>
    </row>
    <row r="7" spans="1:7" x14ac:dyDescent="0.25">
      <c r="A7" s="2"/>
      <c r="B7" s="20"/>
      <c r="C7" s="20"/>
      <c r="D7" s="20"/>
      <c r="E7" s="20"/>
      <c r="F7" s="2"/>
    </row>
    <row r="8" spans="1:7" x14ac:dyDescent="0.25">
      <c r="A8" s="19" t="s">
        <v>24</v>
      </c>
      <c r="B8" s="26">
        <v>0</v>
      </c>
      <c r="C8" s="26">
        <v>200000</v>
      </c>
      <c r="D8" s="26">
        <v>200000</v>
      </c>
      <c r="E8" s="26">
        <v>200000</v>
      </c>
      <c r="F8" s="19"/>
    </row>
    <row r="9" spans="1:7" x14ac:dyDescent="0.25">
      <c r="A9" s="19" t="s">
        <v>49</v>
      </c>
      <c r="B9" s="22">
        <f>1/((1+$B$1)^B3)</f>
        <v>1</v>
      </c>
      <c r="C9" s="23">
        <f t="shared" ref="C9:E9" si="2">1/((1+$B$1)^C3)</f>
        <v>0.92592592592592582</v>
      </c>
      <c r="D9" s="23">
        <f t="shared" si="2"/>
        <v>0.85733882030178321</v>
      </c>
      <c r="E9" s="23">
        <f t="shared" si="2"/>
        <v>0.79383224102016958</v>
      </c>
      <c r="F9" s="19"/>
    </row>
    <row r="10" spans="1:7" x14ac:dyDescent="0.25">
      <c r="A10" s="2" t="s">
        <v>51</v>
      </c>
      <c r="B10" s="28">
        <f>B8*B9</f>
        <v>0</v>
      </c>
      <c r="C10" s="28">
        <f>ROUND(C8*C9,-3)</f>
        <v>185000</v>
      </c>
      <c r="D10" s="28">
        <f t="shared" ref="D10:E10" si="3">ROUND(D8*D9,-3)</f>
        <v>171000</v>
      </c>
      <c r="E10" s="28">
        <f t="shared" si="3"/>
        <v>159000</v>
      </c>
      <c r="F10" s="27">
        <f>SUM(B10:E10)</f>
        <v>515000</v>
      </c>
    </row>
    <row r="11" spans="1:7" x14ac:dyDescent="0.25">
      <c r="A11" s="2"/>
      <c r="B11" s="20"/>
      <c r="C11" s="20"/>
      <c r="D11" s="20"/>
      <c r="E11" s="20"/>
      <c r="F11" s="2"/>
    </row>
    <row r="12" spans="1:7" x14ac:dyDescent="0.25">
      <c r="A12" s="19" t="s">
        <v>52</v>
      </c>
      <c r="B12" s="26">
        <f>B10-B6</f>
        <v>-140000</v>
      </c>
      <c r="C12" s="26">
        <f t="shared" ref="C12:E12" si="4">C10-C6</f>
        <v>148000</v>
      </c>
      <c r="D12" s="26">
        <f t="shared" si="4"/>
        <v>137000</v>
      </c>
      <c r="E12" s="26">
        <f t="shared" si="4"/>
        <v>127000</v>
      </c>
      <c r="F12" s="27">
        <f>F10-F6</f>
        <v>272000</v>
      </c>
      <c r="G12" s="25" t="s">
        <v>55</v>
      </c>
    </row>
    <row r="13" spans="1:7" x14ac:dyDescent="0.25">
      <c r="A13" s="19" t="s">
        <v>53</v>
      </c>
      <c r="B13" s="26">
        <f>B10-B6</f>
        <v>-140000</v>
      </c>
      <c r="C13" s="26">
        <f>B13+C12</f>
        <v>8000</v>
      </c>
      <c r="D13" s="26">
        <f>C13+D12</f>
        <v>145000</v>
      </c>
      <c r="E13" s="26">
        <f>D13+E12</f>
        <v>272000</v>
      </c>
      <c r="F13" s="27"/>
    </row>
    <row r="14" spans="1:7" x14ac:dyDescent="0.25">
      <c r="A14" s="24"/>
      <c r="B14" s="24"/>
      <c r="C14" s="24"/>
      <c r="D14" s="24"/>
      <c r="E14" s="24"/>
      <c r="F14" s="24"/>
    </row>
    <row r="15" spans="1:7" x14ac:dyDescent="0.25">
      <c r="A15" s="2" t="s">
        <v>54</v>
      </c>
      <c r="B15" s="10">
        <f>(F10-F6)/F6</f>
        <v>1.1193415637860082</v>
      </c>
    </row>
    <row r="16" spans="1:7" x14ac:dyDescent="0.25">
      <c r="B16" s="17" t="s">
        <v>56</v>
      </c>
      <c r="C16" s="17"/>
      <c r="D16" s="17"/>
    </row>
  </sheetData>
  <mergeCells count="2">
    <mergeCell ref="A2:D2"/>
    <mergeCell ref="B16:D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tabSelected="1" workbookViewId="0">
      <selection activeCell="M20" sqref="M20"/>
    </sheetView>
  </sheetViews>
  <sheetFormatPr defaultRowHeight="15" x14ac:dyDescent="0.25"/>
  <cols>
    <col min="1" max="1" width="5" bestFit="1" customWidth="1"/>
    <col min="2" max="2" width="7.5703125" bestFit="1" customWidth="1"/>
    <col min="3" max="3" width="8.5703125" bestFit="1" customWidth="1"/>
    <col min="4" max="4" width="10.28515625" bestFit="1" customWidth="1"/>
    <col min="5" max="5" width="13" bestFit="1" customWidth="1"/>
  </cols>
  <sheetData>
    <row r="1" spans="1:5" x14ac:dyDescent="0.25">
      <c r="A1" s="30" t="s">
        <v>27</v>
      </c>
      <c r="B1" s="30" t="s">
        <v>25</v>
      </c>
      <c r="C1" s="30" t="s">
        <v>24</v>
      </c>
      <c r="D1" s="30" t="s">
        <v>28</v>
      </c>
      <c r="E1" s="30" t="s">
        <v>29</v>
      </c>
    </row>
    <row r="2" spans="1:5" x14ac:dyDescent="0.25">
      <c r="A2" s="31">
        <v>0</v>
      </c>
      <c r="B2" s="29">
        <v>140000</v>
      </c>
      <c r="C2" s="29">
        <v>0</v>
      </c>
      <c r="D2" s="29">
        <v>140000</v>
      </c>
      <c r="E2" s="29">
        <v>0</v>
      </c>
    </row>
    <row r="3" spans="1:5" x14ac:dyDescent="0.25">
      <c r="A3" s="31">
        <v>1</v>
      </c>
      <c r="B3" s="29">
        <v>37000</v>
      </c>
      <c r="C3" s="29">
        <v>185000</v>
      </c>
      <c r="D3" s="29">
        <f>B3+D2</f>
        <v>177000</v>
      </c>
      <c r="E3" s="29">
        <f>C3+E2</f>
        <v>185000</v>
      </c>
    </row>
    <row r="4" spans="1:5" x14ac:dyDescent="0.25">
      <c r="A4" s="31">
        <v>2</v>
      </c>
      <c r="B4" s="29">
        <v>34000</v>
      </c>
      <c r="C4" s="29">
        <v>171000</v>
      </c>
      <c r="D4" s="29">
        <f t="shared" ref="D4:D5" si="0">B4+D3</f>
        <v>211000</v>
      </c>
      <c r="E4" s="29">
        <f t="shared" ref="E4:E5" si="1">C4+E3</f>
        <v>356000</v>
      </c>
    </row>
    <row r="5" spans="1:5" x14ac:dyDescent="0.25">
      <c r="A5" s="31">
        <v>3</v>
      </c>
      <c r="B5" s="29">
        <v>32000</v>
      </c>
      <c r="C5" s="29">
        <v>159000</v>
      </c>
      <c r="D5" s="29">
        <f t="shared" si="0"/>
        <v>243000</v>
      </c>
      <c r="E5" s="29">
        <f t="shared" si="1"/>
        <v>515000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WSM_DuAn</vt:lpstr>
      <vt:lpstr>WSM_ChucNang</vt:lpstr>
      <vt:lpstr>NPV</vt:lpstr>
      <vt:lpstr>ROI</vt:lpstr>
      <vt:lpstr>Payback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Bao</dc:creator>
  <cp:lastModifiedBy>Hoang Bao</cp:lastModifiedBy>
  <dcterms:created xsi:type="dcterms:W3CDTF">2025-07-25T08:28:48Z</dcterms:created>
  <dcterms:modified xsi:type="dcterms:W3CDTF">2025-07-29T08:44:03Z</dcterms:modified>
</cp:coreProperties>
</file>